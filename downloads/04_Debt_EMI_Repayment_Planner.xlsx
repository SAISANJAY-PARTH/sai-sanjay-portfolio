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Planner" sheetId="1" state="visible" r:id="rId1"/>
  </sheets>
  <definedNames>
    <definedName name="_xlnm._FilterDatabase" localSheetId="0" hidden="1">'Debt Planner'!$A$9:$H$16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4546A"/>
      <sz val="10"/>
    </font>
    <font>
      <b val="1"/>
      <color rgb="00FFFFFF"/>
    </font>
    <font>
      <b val="1"/>
      <color rgb="0017365D"/>
    </font>
    <font>
      <b val="1"/>
      <color rgb="0017365D"/>
      <sz val="11"/>
    </font>
    <font>
      <i val="1"/>
      <color rgb="001F1F1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EAF3F8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medium">
        <color rgb="001F4E7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0" borderId="0" pivotButton="0" quotePrefix="0" xfId="0"/>
    <xf numFmtId="164" fontId="5" fillId="4" borderId="1" pivotButton="0" quotePrefix="0" xfId="0"/>
    <xf numFmtId="10" fontId="5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6" borderId="1" applyAlignment="1" pivotButton="0" quotePrefix="0" xfId="0">
      <alignment vertical="center"/>
    </xf>
    <xf numFmtId="10" fontId="0" fillId="6" borderId="1" applyAlignment="1" pivotButton="0" quotePrefix="0" xfId="0">
      <alignment vertical="center"/>
    </xf>
    <xf numFmtId="1" fontId="0" fillId="6" borderId="1" applyAlignment="1" pivotButton="0" quotePrefix="0" xfId="0">
      <alignment vertical="center"/>
    </xf>
    <xf numFmtId="164" fontId="0" fillId="4" borderId="1" pivotButton="0" quotePrefix="0" xfId="0"/>
    <xf numFmtId="0" fontId="0" fillId="6" borderId="1" applyAlignment="1" pivotButton="0" quotePrefix="0" xfId="0">
      <alignment vertical="center"/>
    </xf>
    <xf numFmtId="0" fontId="3" fillId="5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D11" authorId="0" shapeId="0">
      <text>
        <t>Enter remaining number of monthly payments. For more accurate estimates, use the lender's actual amortization schedule.</t>
      </text>
    </comment>
    <comment ref="D12" authorId="0" shapeId="0">
      <text>
        <t>Enter remaining number of monthly payments. For more accurate estimates, use the lender's actual amortization schedule.</t>
      </text>
    </comment>
    <comment ref="D13" authorId="0" shapeId="0">
      <text>
        <t>Enter remaining number of monthly payments. For more accurate estimates, use the lender's actual amortization schedule.</t>
      </text>
    </comment>
    <comment ref="D14" authorId="0" shapeId="0">
      <text>
        <t>Enter remaining number of monthly payments. For more accurate estimates, use the lender's actual amortization schedule.</t>
      </text>
    </comment>
    <comment ref="D15" authorId="0" shapeId="0">
      <text>
        <t>Enter remaining number of monthly payments. For more accurate estimates, use the lender's actual amortization schedule.</t>
      </text>
    </comment>
    <comment ref="D16" authorId="0" shapeId="0">
      <text>
        <t>Enter remaining number of monthly payments. For more accurate estimates, use the lender's actual amortization schedule.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7" customWidth="1" min="3" max="3"/>
    <col width="17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32" customHeight="1">
      <c r="A1" s="1" t="inlineStr">
        <is>
          <t>DEBT &amp; EMI REPAYMENT PLANNER</t>
        </is>
      </c>
    </row>
    <row r="2" ht="28" customHeight="1">
      <c r="A2" s="2" t="inlineStr">
        <is>
          <t>Compare repayment scenarios and estimate interest costs. Enter loan details in yellow cells; calculations are estimates.</t>
        </is>
      </c>
    </row>
    <row r="4" ht="22" customHeight="1">
      <c r="A4" s="3" t="inlineStr">
        <is>
          <t>LOAN OVERVIEW</t>
        </is>
      </c>
    </row>
    <row r="5">
      <c r="A5" s="4" t="inlineStr">
        <is>
          <t>Total outstanding</t>
        </is>
      </c>
      <c r="B5" s="5">
        <f>SUM(B11:B16)</f>
        <v/>
      </c>
      <c r="C5" s="4" t="inlineStr">
        <is>
          <t>Total monthly EMI</t>
        </is>
      </c>
      <c r="D5" s="5">
        <f>SUM(E11:E16)</f>
        <v/>
      </c>
      <c r="E5" s="4" t="inlineStr">
        <is>
          <t>Weighted average rate</t>
        </is>
      </c>
      <c r="F5" s="6">
        <f>IFERROR(SUMPRODUCT(B11:B16,C11:C16)/SUM(B11:B16),0)</f>
        <v/>
      </c>
      <c r="G5" s="4" t="inlineStr">
        <is>
          <t>Total estimated interest</t>
        </is>
      </c>
      <c r="H5" s="5">
        <f>SUM(G11:G16)</f>
        <v/>
      </c>
    </row>
    <row r="8" ht="22" customHeight="1">
      <c r="A8" s="3" t="inlineStr">
        <is>
          <t>LOAN INPUTS</t>
        </is>
      </c>
    </row>
    <row r="9" ht="30" customHeight="1">
      <c r="A9" s="7" t="inlineStr">
        <is>
          <t>Loan / debt</t>
        </is>
      </c>
      <c r="B9" s="7" t="inlineStr">
        <is>
          <t>Outstanding (₹)</t>
        </is>
      </c>
      <c r="C9" s="7" t="inlineStr">
        <is>
          <t>Annual interest rate</t>
        </is>
      </c>
      <c r="D9" s="7" t="inlineStr">
        <is>
          <t>Remaining months</t>
        </is>
      </c>
      <c r="E9" s="7" t="inlineStr">
        <is>
          <t>Current EMI (₹)</t>
        </is>
      </c>
      <c r="F9" s="7" t="inlineStr">
        <is>
          <t>Extra monthly payment (₹)</t>
        </is>
      </c>
      <c r="G9" s="7" t="inlineStr">
        <is>
          <t>Estimated future interest (₹)</t>
        </is>
      </c>
      <c r="H9" s="7" t="inlineStr">
        <is>
          <t>Notes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inlineStr">
        <is>
          <t>Credit card</t>
        </is>
      </c>
      <c r="B11" s="9" t="n">
        <v>0</v>
      </c>
      <c r="C11" s="10" t="n">
        <v>0.36</v>
      </c>
      <c r="D11" s="11" t="n">
        <v>12</v>
      </c>
      <c r="E11" s="9" t="n">
        <v>0</v>
      </c>
      <c r="F11" s="9" t="n">
        <v>0</v>
      </c>
      <c r="G11" s="12">
        <f>IF(B11&lt;=0,0,IF(C11=0,MAX(0,(E11+F11)*D11-B11),IF(E11+F11&lt;=B11*C11/12,B11*C11/12*D11,MAX(0,(E11+F11)*D11-B11))))</f>
        <v/>
      </c>
      <c r="H11" s="13" t="inlineStr">
        <is>
          <t>Enter monthly rate annualized</t>
        </is>
      </c>
    </row>
    <row r="12">
      <c r="A12" s="8" t="inlineStr">
        <is>
          <t>Education loan</t>
        </is>
      </c>
      <c r="B12" s="9" t="n">
        <v>0</v>
      </c>
      <c r="C12" s="10" t="n">
        <v>0.1</v>
      </c>
      <c r="D12" s="11" t="n">
        <v>60</v>
      </c>
      <c r="E12" s="9" t="n">
        <v>0</v>
      </c>
      <c r="F12" s="9" t="n">
        <v>0</v>
      </c>
      <c r="G12" s="12">
        <f>IF(B12&lt;=0,0,IF(C12=0,MAX(0,(E12+F12)*D12-B12),IF(E12+F12&lt;=B12*C12/12,B12*C12/12*D12,MAX(0,(E12+F12)*D12-B12))))</f>
        <v/>
      </c>
      <c r="H12" s="13" t="inlineStr"/>
    </row>
    <row r="13">
      <c r="A13" s="8" t="inlineStr">
        <is>
          <t>Personal loan</t>
        </is>
      </c>
      <c r="B13" s="9" t="n">
        <v>0</v>
      </c>
      <c r="C13" s="10" t="n">
        <v>0.16</v>
      </c>
      <c r="D13" s="11" t="n">
        <v>36</v>
      </c>
      <c r="E13" s="9" t="n">
        <v>0</v>
      </c>
      <c r="F13" s="9" t="n">
        <v>0</v>
      </c>
      <c r="G13" s="12">
        <f>IF(B13&lt;=0,0,IF(C13=0,MAX(0,(E13+F13)*D13-B13),IF(E13+F13&lt;=B13*C13/12,B13*C13/12*D13,MAX(0,(E13+F13)*D13-B13))))</f>
        <v/>
      </c>
      <c r="H13" s="13" t="inlineStr"/>
    </row>
    <row r="14">
      <c r="A14" s="8" t="inlineStr">
        <is>
          <t>Vehicle loan</t>
        </is>
      </c>
      <c r="B14" s="9" t="n">
        <v>0</v>
      </c>
      <c r="C14" s="10" t="n">
        <v>0.11</v>
      </c>
      <c r="D14" s="11" t="n">
        <v>48</v>
      </c>
      <c r="E14" s="9" t="n">
        <v>0</v>
      </c>
      <c r="F14" s="9" t="n">
        <v>0</v>
      </c>
      <c r="G14" s="12">
        <f>IF(B14&lt;=0,0,IF(C14=0,MAX(0,(E14+F14)*D14-B14),IF(E14+F14&lt;=B14*C14/12,B14*C14/12*D14,MAX(0,(E14+F14)*D14-B14))))</f>
        <v/>
      </c>
      <c r="H14" s="13" t="inlineStr"/>
    </row>
    <row r="15">
      <c r="A15" s="8" t="inlineStr">
        <is>
          <t>Home loan</t>
        </is>
      </c>
      <c r="B15" s="9" t="n">
        <v>0</v>
      </c>
      <c r="C15" s="10" t="n">
        <v>0.08500000000000001</v>
      </c>
      <c r="D15" s="11" t="n">
        <v>240</v>
      </c>
      <c r="E15" s="9" t="n">
        <v>0</v>
      </c>
      <c r="F15" s="9" t="n">
        <v>0</v>
      </c>
      <c r="G15" s="12">
        <f>IF(B15&lt;=0,0,IF(C15=0,MAX(0,(E15+F15)*D15-B15),IF(E15+F15&lt;=B15*C15/12,B15*C15/12*D15,MAX(0,(E15+F15)*D15-B15))))</f>
        <v/>
      </c>
      <c r="H15" s="13" t="inlineStr"/>
    </row>
    <row r="16">
      <c r="A16" s="8" t="inlineStr">
        <is>
          <t>Other</t>
        </is>
      </c>
      <c r="B16" s="9" t="n">
        <v>0</v>
      </c>
      <c r="C16" s="10" t="n">
        <v>0.12</v>
      </c>
      <c r="D16" s="11" t="n">
        <v>24</v>
      </c>
      <c r="E16" s="9" t="n">
        <v>0</v>
      </c>
      <c r="F16" s="9" t="n">
        <v>0</v>
      </c>
      <c r="G16" s="12">
        <f>IF(B16&lt;=0,0,IF(C16=0,MAX(0,(E16+F16)*D16-B16),IF(E16+F16&lt;=B16*C16/12,B16*C16/12*D16,MAX(0,(E16+F16)*D16-B16))))</f>
        <v/>
      </c>
      <c r="H16" s="13" t="inlineStr"/>
    </row>
    <row r="18" ht="22" customHeight="1">
      <c r="A18" s="3" t="inlineStr">
        <is>
          <t>REPAYMENT STRATEGY COMPARISON</t>
        </is>
      </c>
    </row>
    <row r="19" ht="30" customHeight="1">
      <c r="A19" s="14" t="inlineStr">
        <is>
          <t>Strategy</t>
        </is>
      </c>
      <c r="B19" s="14" t="inlineStr">
        <is>
          <t>Priority rule</t>
        </is>
      </c>
      <c r="C19" s="14" t="inlineStr">
        <is>
          <t>How it works</t>
        </is>
      </c>
      <c r="D19" s="14" t="inlineStr">
        <is>
          <t>Potential benefit</t>
        </is>
      </c>
      <c r="E19" s="14" t="inlineStr">
        <is>
          <t>Trade-off</t>
        </is>
      </c>
      <c r="F19" s="14" t="inlineStr">
        <is>
          <t>Best suited for</t>
        </is>
      </c>
    </row>
    <row r="20" ht="55" customHeight="1">
      <c r="A20" s="15" t="inlineStr">
        <is>
          <t>Avalanche</t>
        </is>
      </c>
      <c r="B20" s="15" t="inlineStr">
        <is>
          <t>Highest interest rate first</t>
        </is>
      </c>
      <c r="C20" s="15" t="inlineStr">
        <is>
          <t>Pay minimums on all debts, then direct extra money to the highest-rate debt.</t>
        </is>
      </c>
      <c r="D20" s="15" t="inlineStr">
        <is>
          <t>Often minimizes total interest when rates and fees are known.</t>
        </is>
      </c>
      <c r="E20" s="15" t="inlineStr">
        <is>
          <t>May feel slower if the highest-rate balance is large.</t>
        </is>
      </c>
      <c r="F20" s="15" t="inlineStr">
        <is>
          <t>Cost minimization</t>
        </is>
      </c>
    </row>
    <row r="21" ht="55" customHeight="1">
      <c r="A21" s="15" t="inlineStr">
        <is>
          <t>Snowball</t>
        </is>
      </c>
      <c r="B21" s="15" t="inlineStr">
        <is>
          <t>Smallest balance first</t>
        </is>
      </c>
      <c r="C21" s="15" t="inlineStr">
        <is>
          <t>Pay minimums on all debts, then clear the smallest balance first.</t>
        </is>
      </c>
      <c r="D21" s="15" t="inlineStr">
        <is>
          <t>Quick wins may improve motivation.</t>
        </is>
      </c>
      <c r="E21" s="15" t="inlineStr">
        <is>
          <t>Can cost more interest than avalanche.</t>
        </is>
      </c>
      <c r="F21" s="15" t="inlineStr">
        <is>
          <t>Motivation and momentum</t>
        </is>
      </c>
    </row>
    <row r="22" ht="55" customHeight="1">
      <c r="A22" s="15" t="inlineStr">
        <is>
          <t>Hybrid</t>
        </is>
      </c>
      <c r="B22" s="15" t="inlineStr">
        <is>
          <t>Rate + balance</t>
        </is>
      </c>
      <c r="C22" s="15" t="inlineStr">
        <is>
          <t>Prioritize expensive debt while clearing a small balance when useful.</t>
        </is>
      </c>
      <c r="D22" s="15" t="inlineStr">
        <is>
          <t>Balances motivation and cost.</t>
        </is>
      </c>
      <c r="E22" s="15" t="inlineStr">
        <is>
          <t>Requires judgment and regular review.</t>
        </is>
      </c>
      <c r="F22" s="15" t="inlineStr">
        <is>
          <t>Mixed priorities</t>
        </is>
      </c>
    </row>
    <row r="25" ht="22" customHeight="1">
      <c r="A25" s="3" t="inlineStr">
        <is>
          <t>QUICK EMI CALCULATOR</t>
        </is>
      </c>
    </row>
    <row r="26">
      <c r="A26" t="inlineStr">
        <is>
          <t>Loan amount (₹)</t>
        </is>
      </c>
      <c r="B26" s="9" t="n">
        <v>100000</v>
      </c>
      <c r="C26" t="inlineStr">
        <is>
          <t>Annual rate</t>
        </is>
      </c>
      <c r="D26" s="10" t="n">
        <v>0.12</v>
      </c>
      <c r="E26" t="inlineStr">
        <is>
          <t>Tenure (months)</t>
        </is>
      </c>
      <c r="F26" s="11" t="n">
        <v>24</v>
      </c>
    </row>
    <row r="27">
      <c r="A27" s="4" t="inlineStr">
        <is>
          <t>Estimated EMI</t>
        </is>
      </c>
      <c r="B27" s="12">
        <f>IF(D26=0,B26/F26,-PMT(D26/12,F26,B26))</f>
        <v/>
      </c>
      <c r="C27" s="4" t="inlineStr">
        <is>
          <t>Total payments</t>
        </is>
      </c>
      <c r="D27" s="12">
        <f>B27*F26</f>
        <v/>
      </c>
      <c r="E27" s="4" t="inlineStr">
        <is>
          <t>Total interest</t>
        </is>
      </c>
      <c r="F27" s="12">
        <f>D27-B26</f>
        <v/>
      </c>
    </row>
    <row r="29" ht="30" customHeight="1">
      <c r="A29" s="16" t="inlineStr">
        <is>
          <t>Important: This workbook provides simplified estimates, not lender quotes. Actual repayment schedules depend on compounding, fees, payment timing, floating rates, prepayment rules and lender-specific calculations. Check the official lender statement before acting.</t>
        </is>
      </c>
    </row>
    <row r="30" ht="24" customHeight="1"/>
  </sheetData>
  <autoFilter ref="A9:H16"/>
  <mergeCells count="7">
    <mergeCell ref="A4:H4"/>
    <mergeCell ref="A29:H30"/>
    <mergeCell ref="A2:H2"/>
    <mergeCell ref="A18:F18"/>
    <mergeCell ref="A1:H1"/>
    <mergeCell ref="A8:H8"/>
    <mergeCell ref="A25:F25"/>
  </mergeCells>
  <dataValidations count="2">
    <dataValidation sqref="D11:D16 F26" showDropDown="0" showInputMessage="0" showErrorMessage="0" allowBlank="1" type="whole" operator="between">
      <formula1>1</formula1>
      <formula2>600</formula2>
    </dataValidation>
    <dataValidation sqref="C11:C16 D26" showDropDown="0" showInputMessage="0" showErrorMessage="0" allowBlank="1" type="decimal" operator="between">
      <formula1>0</formula1>
      <formula2>1</formula2>
    </dataValidation>
  </dataValidations>
  <pageMargins left="0.25" right="0.2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2026-10-13T10:22:16Z</dcterms:created>
  <dcterms:modified xmlns:dcterms="http://purl.org/dc/terms/" xmlns:xsi="http://www.w3.org/2001/XMLSchema-instance" xsi:type="dcterms:W3CDTF">2026-10-13T10:22:16Z</dcterms:modified>
</cp:coreProperties>
</file>